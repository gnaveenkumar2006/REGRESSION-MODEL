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6279bdbb0d4dee1/Desktop/"/>
    </mc:Choice>
  </mc:AlternateContent>
  <xr:revisionPtr revIDLastSave="11" documentId="11_F25DC773A252ABDACC1048D6B1DB78065BDE58ED" xr6:coauthVersionLast="47" xr6:coauthVersionMax="47" xr10:uidLastSave="{B5692FA0-E223-4BC6-BF95-CD52BF23BC9B}"/>
  <bookViews>
    <workbookView xWindow="-110" yWindow="-110" windowWidth="19420" windowHeight="10300" xr2:uid="{00000000-000D-0000-FFFF-FFFF00000000}"/>
  </bookViews>
  <sheets>
    <sheet name="Data LR" sheetId="1" r:id="rId1"/>
    <sheet name="L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G8" i="2"/>
  <c r="D8" i="2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</calcChain>
</file>

<file path=xl/sharedStrings.xml><?xml version="1.0" encoding="utf-8"?>
<sst xmlns="http://schemas.openxmlformats.org/spreadsheetml/2006/main" count="52" uniqueCount="43">
  <si>
    <t>Size</t>
  </si>
  <si>
    <t>Bed</t>
  </si>
  <si>
    <t>Age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</si>
  <si>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</si>
  <si>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</si>
  <si>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</si>
  <si>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</si>
  <si>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</si>
  <si>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</si>
  <si>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</si>
  <si>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</si>
  <si>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</si>
  <si>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</si>
  <si>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</si>
  <si>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</si>
  <si>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</si>
  <si>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</si>
  <si>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</si>
  <si>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</si>
  <si>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</si>
  <si>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</si>
  <si>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</si>
  <si>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</si>
  <si>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</si>
  <si>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</si>
  <si>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</si>
  <si>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</si>
  <si>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</si>
  <si>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</si>
  <si>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Price</t>
  </si>
  <si>
    <t>Residuals</t>
  </si>
  <si>
    <t>Standard Residuals</t>
  </si>
  <si>
    <t>predict</t>
  </si>
  <si>
    <t>upper</t>
  </si>
  <si>
    <t>lower</t>
  </si>
  <si>
    <t>Relation between the dependent and independent vriable</t>
  </si>
  <si>
    <t>the 99% of correlation between the size,bed,age abd price decisions of the customers</t>
  </si>
  <si>
    <t>the 98% of the variation in the purchasing interns of size,bed,age and 2% of variation from the other some factors</t>
  </si>
  <si>
    <t>30% data are fit and 70% data are fitted</t>
  </si>
  <si>
    <t>Si</t>
  </si>
  <si>
    <t>Be</t>
  </si>
  <si>
    <t>Ag</t>
  </si>
  <si>
    <t>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</si>
</sst>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1" fontId="0" fillId="0" borderId="0" xfId="0" applyNumberFormat="1"/>
    <xf numFmtId="1" fontId="0" fillId="0" borderId="1" xfId="0" applyNumberFormat="1" applyBorder="1"/>
    <xf numFmtId="9" fontId="0" fillId="0" borderId="0" xfId="1" applyFont="1" applyFill="1" applyBorder="1" applyAlignment="1"/>
    <xf numFmtId="9" fontId="0" fillId="0" borderId="0" xfId="1" applyFont="1"/>
    <xf numFmtId="9" fontId="0" fillId="0" borderId="1" xfId="1" applyFont="1" applyBorder="1"/>
    <xf numFmtId="0" fontId="0" fillId="0" borderId="0" xfId="0" applyAlignment="1">
      <alignment horizontal="center"/>
    </xf>
    <xf numFmtId="9" fontId="0" fillId="0" borderId="0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LR'!$B$10</c:f>
              <c:strCache>
                <c:ptCount val="1"/>
                <c:pt idx="0">
                  <c:v>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LR'!$A$11:$A$30</c:f>
              <c:numCache>
                <c:formatCode>General</c:formatCode>
                <c:ptCount val="2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  <c:pt idx="10">
                  <c:v>1900</c:v>
                </c:pt>
                <c:pt idx="11">
                  <c:v>1300</c:v>
                </c:pt>
                <c:pt idx="12">
                  <c:v>2100</c:v>
                </c:pt>
                <c:pt idx="13">
                  <c:v>1650</c:v>
                </c:pt>
                <c:pt idx="14">
                  <c:v>1950</c:v>
                </c:pt>
                <c:pt idx="15">
                  <c:v>1150</c:v>
                </c:pt>
                <c:pt idx="16">
                  <c:v>2200</c:v>
                </c:pt>
                <c:pt idx="17">
                  <c:v>1500</c:v>
                </c:pt>
                <c:pt idx="18">
                  <c:v>1850</c:v>
                </c:pt>
                <c:pt idx="19">
                  <c:v>2000</c:v>
                </c:pt>
              </c:numCache>
            </c:numRef>
          </c:xVal>
          <c:yVal>
            <c:numRef>
              <c:f>'Data LR'!$B$11:$B$30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D-49C0-9D6D-FF2070930242}"/>
            </c:ext>
          </c:extLst>
        </c:ser>
        <c:ser>
          <c:idx val="1"/>
          <c:order val="1"/>
          <c:tx>
            <c:strRef>
              <c:f>'Data LR'!$C$10</c:f>
              <c:strCache>
                <c:ptCount val="1"/>
                <c:pt idx="0">
                  <c:v>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LR'!$A$11:$A$30</c:f>
              <c:numCache>
                <c:formatCode>General</c:formatCode>
                <c:ptCount val="2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  <c:pt idx="10">
                  <c:v>1900</c:v>
                </c:pt>
                <c:pt idx="11">
                  <c:v>1300</c:v>
                </c:pt>
                <c:pt idx="12">
                  <c:v>2100</c:v>
                </c:pt>
                <c:pt idx="13">
                  <c:v>1650</c:v>
                </c:pt>
                <c:pt idx="14">
                  <c:v>1950</c:v>
                </c:pt>
                <c:pt idx="15">
                  <c:v>1150</c:v>
                </c:pt>
                <c:pt idx="16">
                  <c:v>2200</c:v>
                </c:pt>
                <c:pt idx="17">
                  <c:v>1500</c:v>
                </c:pt>
                <c:pt idx="18">
                  <c:v>1850</c:v>
                </c:pt>
                <c:pt idx="19">
                  <c:v>2000</c:v>
                </c:pt>
              </c:numCache>
            </c:numRef>
          </c:xVal>
          <c:yVal>
            <c:numRef>
              <c:f>'Data LR'!$C$11:$C$30</c:f>
              <c:numCache>
                <c:formatCode>General</c:formatCode>
                <c:ptCount val="20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5</c:v>
                </c:pt>
                <c:pt idx="4">
                  <c:v>15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4</c:v>
                </c:pt>
                <c:pt idx="11">
                  <c:v>13</c:v>
                </c:pt>
                <c:pt idx="12">
                  <c:v>2</c:v>
                </c:pt>
                <c:pt idx="13">
                  <c:v>10</c:v>
                </c:pt>
                <c:pt idx="14">
                  <c:v>6</c:v>
                </c:pt>
                <c:pt idx="15">
                  <c:v>14</c:v>
                </c:pt>
                <c:pt idx="16">
                  <c:v>5</c:v>
                </c:pt>
                <c:pt idx="17">
                  <c:v>8</c:v>
                </c:pt>
                <c:pt idx="18">
                  <c:v>7</c:v>
                </c:pt>
                <c:pt idx="1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8D-49C0-9D6D-FF2070930242}"/>
            </c:ext>
          </c:extLst>
        </c:ser>
        <c:ser>
          <c:idx val="2"/>
          <c:order val="2"/>
          <c:tx>
            <c:strRef>
              <c:f>'Data LR'!$D$10</c:f>
              <c:strCache>
                <c:ptCount val="1"/>
                <c:pt idx="0">
                  <c:v>Pri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 LR'!$A$11:$A$30</c:f>
              <c:numCache>
                <c:formatCode>General</c:formatCode>
                <c:ptCount val="2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  <c:pt idx="10">
                  <c:v>1900</c:v>
                </c:pt>
                <c:pt idx="11">
                  <c:v>1300</c:v>
                </c:pt>
                <c:pt idx="12">
                  <c:v>2100</c:v>
                </c:pt>
                <c:pt idx="13">
                  <c:v>1650</c:v>
                </c:pt>
                <c:pt idx="14">
                  <c:v>1950</c:v>
                </c:pt>
                <c:pt idx="15">
                  <c:v>1150</c:v>
                </c:pt>
                <c:pt idx="16">
                  <c:v>2200</c:v>
                </c:pt>
                <c:pt idx="17">
                  <c:v>1500</c:v>
                </c:pt>
                <c:pt idx="18">
                  <c:v>1850</c:v>
                </c:pt>
                <c:pt idx="19">
                  <c:v>2000</c:v>
                </c:pt>
              </c:numCache>
            </c:numRef>
          </c:xVal>
          <c:yVal>
            <c:numRef>
              <c:f>'Data LR'!$D$11:$D$30</c:f>
              <c:numCache>
                <c:formatCode>General</c:formatCode>
                <c:ptCount val="20"/>
                <c:pt idx="0">
                  <c:v>245000</c:v>
                </c:pt>
                <c:pt idx="1">
                  <c:v>312000</c:v>
                </c:pt>
                <c:pt idx="2">
                  <c:v>279000</c:v>
                </c:pt>
                <c:pt idx="3">
                  <c:v>345000</c:v>
                </c:pt>
                <c:pt idx="4">
                  <c:v>198000</c:v>
                </c:pt>
                <c:pt idx="5">
                  <c:v>289000</c:v>
                </c:pt>
                <c:pt idx="6">
                  <c:v>425000</c:v>
                </c:pt>
                <c:pt idx="7">
                  <c:v>399000</c:v>
                </c:pt>
                <c:pt idx="8">
                  <c:v>265000</c:v>
                </c:pt>
                <c:pt idx="9">
                  <c:v>274000</c:v>
                </c:pt>
                <c:pt idx="10">
                  <c:v>358000</c:v>
                </c:pt>
                <c:pt idx="11">
                  <c:v>215000</c:v>
                </c:pt>
                <c:pt idx="12">
                  <c:v>389000</c:v>
                </c:pt>
                <c:pt idx="13">
                  <c:v>285000</c:v>
                </c:pt>
                <c:pt idx="14">
                  <c:v>335000</c:v>
                </c:pt>
                <c:pt idx="15">
                  <c:v>205000</c:v>
                </c:pt>
                <c:pt idx="16">
                  <c:v>378000</c:v>
                </c:pt>
                <c:pt idx="17">
                  <c:v>275000</c:v>
                </c:pt>
                <c:pt idx="18">
                  <c:v>318000</c:v>
                </c:pt>
                <c:pt idx="19">
                  <c:v>342000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8D-49C0-9D6D-FF2070930242}"/>
            </c:ext>
          </c:extLst>
        </c:ser>
        <c:ser>
          <c:idx val="3"/>
          <c:order val="3"/>
          <c:tx>
            <c:strRef>
              <c:f>'Data LR'!$E$10</c:f>
              <c:strCache>
                <c:ptCount val="1"/>
                <c:pt idx="0">
                  <c:v>predict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LR'!$A$11:$A$30</c:f>
              <c:numCache>
                <c:formatCode>General</c:formatCode>
                <c:ptCount val="2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  <c:pt idx="10">
                  <c:v>1900</c:v>
                </c:pt>
                <c:pt idx="11">
                  <c:v>1300</c:v>
                </c:pt>
                <c:pt idx="12">
                  <c:v>2100</c:v>
                </c:pt>
                <c:pt idx="13">
                  <c:v>1650</c:v>
                </c:pt>
                <c:pt idx="14">
                  <c:v>1950</c:v>
                </c:pt>
                <c:pt idx="15">
                  <c:v>1150</c:v>
                </c:pt>
                <c:pt idx="16">
                  <c:v>2200</c:v>
                </c:pt>
                <c:pt idx="17">
                  <c:v>1500</c:v>
                </c:pt>
                <c:pt idx="18">
                  <c:v>1850</c:v>
                </c:pt>
                <c:pt idx="19">
                  <c:v>2000</c:v>
                </c:pt>
              </c:numCache>
            </c:numRef>
          </c:xVal>
          <c:yVal>
            <c:numRef>
              <c:f>'Data LR'!$E$11:$E$30</c:f>
              <c:numCache>
                <c:formatCode>0</c:formatCode>
                <c:ptCount val="20"/>
                <c:pt idx="0">
                  <c:v>257995.92405148648</c:v>
                </c:pt>
                <c:pt idx="1">
                  <c:v>291237.21893856995</c:v>
                </c:pt>
                <c:pt idx="2">
                  <c:v>278252.49254590296</c:v>
                </c:pt>
                <c:pt idx="3">
                  <c:v>347349.6860249475</c:v>
                </c:pt>
                <c:pt idx="4">
                  <c:v>187366.41426155035</c:v>
                </c:pt>
                <c:pt idx="5">
                  <c:v>291808.50736766175</c:v>
                </c:pt>
                <c:pt idx="6">
                  <c:v>410014.80577185599</c:v>
                </c:pt>
                <c:pt idx="7">
                  <c:v>402951.15414643084</c:v>
                </c:pt>
                <c:pt idx="8">
                  <c:v>266591.89198780316</c:v>
                </c:pt>
                <c:pt idx="9">
                  <c:v>284173.56731314474</c:v>
                </c:pt>
                <c:pt idx="10">
                  <c:v>355945.6539612643</c:v>
                </c:pt>
                <c:pt idx="11">
                  <c:v>220607.70914863388</c:v>
                </c:pt>
                <c:pt idx="12">
                  <c:v>389186.94884834782</c:v>
                </c:pt>
                <c:pt idx="13">
                  <c:v>284744.85574223648</c:v>
                </c:pt>
                <c:pt idx="14">
                  <c:v>340527.87284010352</c:v>
                </c:pt>
                <c:pt idx="15">
                  <c:v>198637.27536694214</c:v>
                </c:pt>
                <c:pt idx="16">
                  <c:v>382123.2972229225</c:v>
                </c:pt>
                <c:pt idx="17">
                  <c:v>280537.64626226999</c:v>
                </c:pt>
                <c:pt idx="18">
                  <c:v>323907.22539656173</c:v>
                </c:pt>
                <c:pt idx="19">
                  <c:v>337039.85280135548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8D-49C0-9D6D-FF2070930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653640"/>
        <c:axId val="619654000"/>
      </c:scatterChart>
      <c:valAx>
        <c:axId val="619653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54000"/>
        <c:crosses val="autoZero"/>
        <c:crossBetween val="midCat"/>
      </c:valAx>
      <c:valAx>
        <c:axId val="6196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53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LR'!$E$10</c:f>
              <c:strCache>
                <c:ptCount val="1"/>
                <c:pt idx="0">
                  <c:v>predict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LR'!$D$11:$D$30</c:f>
              <c:numCache>
                <c:formatCode>General</c:formatCode>
                <c:ptCount val="20"/>
                <c:pt idx="0">
                  <c:v>245000</c:v>
                </c:pt>
                <c:pt idx="1">
                  <c:v>312000</c:v>
                </c:pt>
                <c:pt idx="2">
                  <c:v>279000</c:v>
                </c:pt>
                <c:pt idx="3">
                  <c:v>345000</c:v>
                </c:pt>
                <c:pt idx="4">
                  <c:v>198000</c:v>
                </c:pt>
                <c:pt idx="5">
                  <c:v>289000</c:v>
                </c:pt>
                <c:pt idx="6">
                  <c:v>425000</c:v>
                </c:pt>
                <c:pt idx="7">
                  <c:v>399000</c:v>
                </c:pt>
                <c:pt idx="8">
                  <c:v>265000</c:v>
                </c:pt>
                <c:pt idx="9">
                  <c:v>274000</c:v>
                </c:pt>
                <c:pt idx="10">
                  <c:v>358000</c:v>
                </c:pt>
                <c:pt idx="11">
                  <c:v>215000</c:v>
                </c:pt>
                <c:pt idx="12">
                  <c:v>389000</c:v>
                </c:pt>
                <c:pt idx="13">
                  <c:v>285000</c:v>
                </c:pt>
                <c:pt idx="14">
                  <c:v>335000</c:v>
                </c:pt>
                <c:pt idx="15">
                  <c:v>205000</c:v>
                </c:pt>
                <c:pt idx="16">
                  <c:v>378000</c:v>
                </c:pt>
                <c:pt idx="17">
                  <c:v>275000</c:v>
                </c:pt>
                <c:pt idx="18">
                  <c:v>318000</c:v>
                </c:pt>
                <c:pt idx="19">
                  <c:v>342000</c:v>
                </c:pt>
              </c:numCache>
            </c:numRef>
          </c:xVal>
          <c:yVal>
            <c:numRef>
              <c:f>'Data LR'!$E$11:$E$30</c:f>
              <c:numCache>
                <c:formatCode>0</c:formatCode>
                <c:ptCount val="20"/>
                <c:pt idx="0">
                  <c:v>257995.92405148648</c:v>
                </c:pt>
                <c:pt idx="1">
                  <c:v>291237.21893856995</c:v>
                </c:pt>
                <c:pt idx="2">
                  <c:v>278252.49254590296</c:v>
                </c:pt>
                <c:pt idx="3">
                  <c:v>347349.6860249475</c:v>
                </c:pt>
                <c:pt idx="4">
                  <c:v>187366.41426155035</c:v>
                </c:pt>
                <c:pt idx="5">
                  <c:v>291808.50736766175</c:v>
                </c:pt>
                <c:pt idx="6">
                  <c:v>410014.80577185599</c:v>
                </c:pt>
                <c:pt idx="7">
                  <c:v>402951.15414643084</c:v>
                </c:pt>
                <c:pt idx="8">
                  <c:v>266591.89198780316</c:v>
                </c:pt>
                <c:pt idx="9">
                  <c:v>284173.56731314474</c:v>
                </c:pt>
                <c:pt idx="10">
                  <c:v>355945.6539612643</c:v>
                </c:pt>
                <c:pt idx="11">
                  <c:v>220607.70914863388</c:v>
                </c:pt>
                <c:pt idx="12">
                  <c:v>389186.94884834782</c:v>
                </c:pt>
                <c:pt idx="13">
                  <c:v>284744.85574223648</c:v>
                </c:pt>
                <c:pt idx="14">
                  <c:v>340527.87284010352</c:v>
                </c:pt>
                <c:pt idx="15">
                  <c:v>198637.27536694214</c:v>
                </c:pt>
                <c:pt idx="16">
                  <c:v>382123.2972229225</c:v>
                </c:pt>
                <c:pt idx="17">
                  <c:v>280537.64626226999</c:v>
                </c:pt>
                <c:pt idx="18">
                  <c:v>323907.22539656173</c:v>
                </c:pt>
                <c:pt idx="19">
                  <c:v>337039.85280135548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7A-408C-A2EB-5AABFA718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16008"/>
        <c:axId val="741116728"/>
      </c:scatterChart>
      <c:valAx>
        <c:axId val="74111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16728"/>
        <c:crosses val="autoZero"/>
        <c:crossBetween val="midCat"/>
      </c:valAx>
      <c:valAx>
        <c:axId val="74111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16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Size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LR'!$A$11:$A$30</c:f>
              <c:numCache>
                <c:formatCode>General</c:formatCode>
                <c:ptCount val="2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  <c:pt idx="10">
                  <c:v>1900</c:v>
                </c:pt>
                <c:pt idx="11">
                  <c:v>1300</c:v>
                </c:pt>
                <c:pt idx="12">
                  <c:v>2100</c:v>
                </c:pt>
                <c:pt idx="13">
                  <c:v>1650</c:v>
                </c:pt>
                <c:pt idx="14">
                  <c:v>1950</c:v>
                </c:pt>
                <c:pt idx="15">
                  <c:v>1150</c:v>
                </c:pt>
                <c:pt idx="16">
                  <c:v>2200</c:v>
                </c:pt>
                <c:pt idx="17">
                  <c:v>1500</c:v>
                </c:pt>
                <c:pt idx="18">
                  <c:v>1850</c:v>
                </c:pt>
                <c:pt idx="19">
                  <c:v>2000</c:v>
                </c:pt>
              </c:numCache>
            </c:numRef>
          </c:xVal>
          <c:yVal>
            <c:numRef>
              <c:f>LR!$C$27:$C$46</c:f>
              <c:numCache>
                <c:formatCode>General</c:formatCode>
                <c:ptCount val="20"/>
                <c:pt idx="0">
                  <c:v>-12995.924051486887</c:v>
                </c:pt>
                <c:pt idx="1">
                  <c:v>20762.781061429589</c:v>
                </c:pt>
                <c:pt idx="2">
                  <c:v>747.50745409657247</c:v>
                </c:pt>
                <c:pt idx="3">
                  <c:v>-2349.6860249479651</c:v>
                </c:pt>
                <c:pt idx="4">
                  <c:v>10633.585738449183</c:v>
                </c:pt>
                <c:pt idx="5">
                  <c:v>-2808.5073676621541</c:v>
                </c:pt>
                <c:pt idx="6">
                  <c:v>14985.194228143548</c:v>
                </c:pt>
                <c:pt idx="7">
                  <c:v>-3951.1541464311886</c:v>
                </c:pt>
                <c:pt idx="8">
                  <c:v>-1591.8919878036249</c:v>
                </c:pt>
                <c:pt idx="9">
                  <c:v>-10173.567313145148</c:v>
                </c:pt>
                <c:pt idx="10">
                  <c:v>2054.3460387352388</c:v>
                </c:pt>
                <c:pt idx="11">
                  <c:v>-5607.7091486343415</c:v>
                </c:pt>
                <c:pt idx="12">
                  <c:v>-186.94884834816912</c:v>
                </c:pt>
                <c:pt idx="13">
                  <c:v>255.14425776305143</c:v>
                </c:pt>
                <c:pt idx="14">
                  <c:v>-5527.8728401039261</c:v>
                </c:pt>
                <c:pt idx="15">
                  <c:v>6362.7246330574562</c:v>
                </c:pt>
                <c:pt idx="16">
                  <c:v>-4123.2972229229636</c:v>
                </c:pt>
                <c:pt idx="17">
                  <c:v>-5537.6462622704566</c:v>
                </c:pt>
                <c:pt idx="18">
                  <c:v>-5907.2253965621931</c:v>
                </c:pt>
                <c:pt idx="19">
                  <c:v>4960.1471986440592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49-4F08-B8F1-D5DE67296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645360"/>
        <c:axId val="619645720"/>
      </c:scatterChart>
      <c:valAx>
        <c:axId val="61964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9645720"/>
        <c:crosses val="autoZero"/>
        <c:crossBetween val="midCat"/>
      </c:valAx>
      <c:valAx>
        <c:axId val="619645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96453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Bed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LR'!$B$11:$B$30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</c:numCache>
            </c:numRef>
          </c:xVal>
          <c:yVal>
            <c:numRef>
              <c:f>LR!$C$27:$C$46</c:f>
              <c:numCache>
                <c:formatCode>General</c:formatCode>
                <c:ptCount val="20"/>
                <c:pt idx="0">
                  <c:v>-12995.924051486887</c:v>
                </c:pt>
                <c:pt idx="1">
                  <c:v>20762.781061429589</c:v>
                </c:pt>
                <c:pt idx="2">
                  <c:v>747.50745409657247</c:v>
                </c:pt>
                <c:pt idx="3">
                  <c:v>-2349.6860249479651</c:v>
                </c:pt>
                <c:pt idx="4">
                  <c:v>10633.585738449183</c:v>
                </c:pt>
                <c:pt idx="5">
                  <c:v>-2808.5073676621541</c:v>
                </c:pt>
                <c:pt idx="6">
                  <c:v>14985.194228143548</c:v>
                </c:pt>
                <c:pt idx="7">
                  <c:v>-3951.1541464311886</c:v>
                </c:pt>
                <c:pt idx="8">
                  <c:v>-1591.8919878036249</c:v>
                </c:pt>
                <c:pt idx="9">
                  <c:v>-10173.567313145148</c:v>
                </c:pt>
                <c:pt idx="10">
                  <c:v>2054.3460387352388</c:v>
                </c:pt>
                <c:pt idx="11">
                  <c:v>-5607.7091486343415</c:v>
                </c:pt>
                <c:pt idx="12">
                  <c:v>-186.94884834816912</c:v>
                </c:pt>
                <c:pt idx="13">
                  <c:v>255.14425776305143</c:v>
                </c:pt>
                <c:pt idx="14">
                  <c:v>-5527.8728401039261</c:v>
                </c:pt>
                <c:pt idx="15">
                  <c:v>6362.7246330574562</c:v>
                </c:pt>
                <c:pt idx="16">
                  <c:v>-4123.2972229229636</c:v>
                </c:pt>
                <c:pt idx="17">
                  <c:v>-5537.6462622704566</c:v>
                </c:pt>
                <c:pt idx="18">
                  <c:v>-5907.2253965621931</c:v>
                </c:pt>
                <c:pt idx="19">
                  <c:v>4960.1471986440592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49-4CF1-9118-7D31C98B1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653640"/>
        <c:axId val="619651480"/>
      </c:scatterChart>
      <c:valAx>
        <c:axId val="619653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9651480"/>
        <c:crosses val="autoZero"/>
        <c:crossBetween val="midCat"/>
      </c:valAx>
      <c:valAx>
        <c:axId val="619651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965364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LR'!$C$11:$C$30</c:f>
              <c:numCache>
                <c:formatCode>General</c:formatCode>
                <c:ptCount val="20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5</c:v>
                </c:pt>
                <c:pt idx="4">
                  <c:v>15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4</c:v>
                </c:pt>
                <c:pt idx="11">
                  <c:v>13</c:v>
                </c:pt>
                <c:pt idx="12">
                  <c:v>2</c:v>
                </c:pt>
                <c:pt idx="13">
                  <c:v>10</c:v>
                </c:pt>
                <c:pt idx="14">
                  <c:v>6</c:v>
                </c:pt>
                <c:pt idx="15">
                  <c:v>14</c:v>
                </c:pt>
                <c:pt idx="16">
                  <c:v>5</c:v>
                </c:pt>
                <c:pt idx="17">
                  <c:v>8</c:v>
                </c:pt>
                <c:pt idx="18">
                  <c:v>7</c:v>
                </c:pt>
                <c:pt idx="19">
                  <c:v>9</c:v>
                </c:pt>
              </c:numCache>
            </c:numRef>
          </c:xVal>
          <c:yVal>
            <c:numRef>
              <c:f>LR!$C$27:$C$46</c:f>
              <c:numCache>
                <c:formatCode>General</c:formatCode>
                <c:ptCount val="20"/>
                <c:pt idx="0">
                  <c:v>-12995.924051486887</c:v>
                </c:pt>
                <c:pt idx="1">
                  <c:v>20762.781061429589</c:v>
                </c:pt>
                <c:pt idx="2">
                  <c:v>747.50745409657247</c:v>
                </c:pt>
                <c:pt idx="3">
                  <c:v>-2349.6860249479651</c:v>
                </c:pt>
                <c:pt idx="4">
                  <c:v>10633.585738449183</c:v>
                </c:pt>
                <c:pt idx="5">
                  <c:v>-2808.5073676621541</c:v>
                </c:pt>
                <c:pt idx="6">
                  <c:v>14985.194228143548</c:v>
                </c:pt>
                <c:pt idx="7">
                  <c:v>-3951.1541464311886</c:v>
                </c:pt>
                <c:pt idx="8">
                  <c:v>-1591.8919878036249</c:v>
                </c:pt>
                <c:pt idx="9">
                  <c:v>-10173.567313145148</c:v>
                </c:pt>
                <c:pt idx="10">
                  <c:v>2054.3460387352388</c:v>
                </c:pt>
                <c:pt idx="11">
                  <c:v>-5607.7091486343415</c:v>
                </c:pt>
                <c:pt idx="12">
                  <c:v>-186.94884834816912</c:v>
                </c:pt>
                <c:pt idx="13">
                  <c:v>255.14425776305143</c:v>
                </c:pt>
                <c:pt idx="14">
                  <c:v>-5527.8728401039261</c:v>
                </c:pt>
                <c:pt idx="15">
                  <c:v>6362.7246330574562</c:v>
                </c:pt>
                <c:pt idx="16">
                  <c:v>-4123.2972229229636</c:v>
                </c:pt>
                <c:pt idx="17">
                  <c:v>-5537.6462622704566</c:v>
                </c:pt>
                <c:pt idx="18">
                  <c:v>-5907.2253965621931</c:v>
                </c:pt>
                <c:pt idx="19">
                  <c:v>4960.1471986440592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93-4932-95E5-B7151B2E8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75872"/>
        <c:axId val="699672272"/>
      </c:scatterChart>
      <c:valAx>
        <c:axId val="699675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9672272"/>
        <c:crosses val="autoZero"/>
        <c:crossBetween val="midCat"/>
      </c:valAx>
      <c:valAx>
        <c:axId val="69967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967587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117475</xdr:colOff>
      <xdr:row>21</xdr:row>
      <xdr:rowOff>47625</xdr:rowOff>
    </xdr:from>
    <xdr:to>
      <xdr:col>11</xdr:col>
      <xdr:colOff>492125</xdr:colOff>
      <xdr:row>36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1ACB77-B9E7-CE61-AD67-6278E2401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165100</xdr:colOff>
      <xdr:row>4</xdr:row>
      <xdr:rowOff>165100</xdr:rowOff>
    </xdr:from>
    <xdr:to>
      <xdr:col>11</xdr:col>
      <xdr:colOff>539750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4E4E0-3750-4DCA-8C75-415FD14B3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196850</xdr:colOff>
      <xdr:row>0</xdr:row>
      <xdr:rowOff>82550</xdr:rowOff>
    </xdr:from>
    <xdr:to>
      <xdr:col>18</xdr:col>
      <xdr:colOff>196850</xdr:colOff>
      <xdr:row>10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1B307-2EAD-63C9-2791-5FF1F6CD5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374650</xdr:colOff>
      <xdr:row>2</xdr:row>
      <xdr:rowOff>114300</xdr:rowOff>
    </xdr:from>
    <xdr:to>
      <xdr:col>17</xdr:col>
      <xdr:colOff>374650</xdr:colOff>
      <xdr:row>12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3FB5AC-1FE1-A7C7-1F15-308DB6276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31750</xdr:colOff>
      <xdr:row>5</xdr:row>
      <xdr:rowOff>0</xdr:rowOff>
    </xdr:from>
    <xdr:to>
      <xdr:col>17</xdr:col>
      <xdr:colOff>31750</xdr:colOff>
      <xdr:row>14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575C14-8698-B0CE-AE30-6322DE832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0"/>
  <sheetViews>
    <sheetView tabSelected="1" topLeftCell="A6" workbookViewId="0">
      <selection activeCell="H15" sqref="H15"/>
    </sheetView>
  </sheetViews>
  <sheetFormatPr defaultColWidth="17.90625" defaultRowHeight="14.5" x14ac:dyDescent="0.35"/>
  <cols>
    <col min="1" max="16384" width="17.90625" style="9"/>
  </cols>
  <sheetData>
    <row r="2" spans="1:14" x14ac:dyDescent="0.35">
      <c r="A2" s="9" t="s">
        <v>5</v>
      </c>
      <c r="B2" s="10">
        <v>0.99196379395644363</v>
      </c>
      <c r="E2" s="9" t="s">
        <v>36</v>
      </c>
    </row>
    <row r="3" spans="1:14" x14ac:dyDescent="0.35">
      <c r="A3" s="9" t="s">
        <v>6</v>
      </c>
      <c r="B3" s="10">
        <v>0.98399216852046167</v>
      </c>
      <c r="F3" s="9" t="s">
        <v>37</v>
      </c>
    </row>
    <row r="4" spans="1:14" x14ac:dyDescent="0.35">
      <c r="A4" s="9" t="s">
        <v>7</v>
      </c>
      <c r="B4" s="10">
        <v>0.98099070011804823</v>
      </c>
    </row>
    <row r="5" spans="1:14" x14ac:dyDescent="0.35">
      <c r="A5" s="9" t="s">
        <v>8</v>
      </c>
      <c r="B5" s="9">
        <v>8969.409598426666</v>
      </c>
      <c r="D5" s="9" t="s">
        <v>38</v>
      </c>
    </row>
    <row r="6" spans="1:14" ht="15" thickBot="1" x14ac:dyDescent="0.4">
      <c r="A6" s="1" t="s">
        <v>9</v>
      </c>
      <c r="B6" s="14">
        <v>20</v>
      </c>
    </row>
    <row r="10" spans="1:14" ht="15.5" x14ac:dyDescent="0.35">
      <c r="A10" s="11" t="s">
        <v>39</v>
      </c>
      <c r="B10" s="11" t="s">
        <v>40</v>
      </c>
      <c r="C10" s="11" t="s">
        <v>41</v>
      </c>
      <c r="D10" s="11" t="s">
        <v>42</v>
      </c>
      <c r="E10" s="11" t="s">
        <v>32</v>
      </c>
      <c r="F10" s="11" t="s">
        <v>33</v>
      </c>
      <c r="G10" s="11" t="s">
        <v>34</v>
      </c>
    </row>
    <row r="11" spans="1:14" x14ac:dyDescent="0.35">
      <c r="A11" s="9">
        <v>1400</v>
      </c>
      <c r="B11" s="9">
        <v>3</v>
      </c>
      <c r="C11" s="9">
        <v>10</v>
      </c>
      <c r="D11" s="9">
        <v>245000</v>
      </c>
      <c r="E11" s="12">
        <f>$I$13+$I$14*A11+$I$15*B11+$I$16*C11</f>
        <v>257995.92405148648</v>
      </c>
      <c r="F11" s="12">
        <f t="shared" ref="F11:F30" si="0">$N$13+$N$14*A11+$N$15*B11+$N$16*C11</f>
        <v>421245.94591591839</v>
      </c>
      <c r="G11" s="12">
        <f t="shared" ref="G11:G30" si="1">$K$12+$K$13*A11+$K$14*B11+$K$15*C11</f>
        <v>94745.902187055355</v>
      </c>
    </row>
    <row r="12" spans="1:14" x14ac:dyDescent="0.35">
      <c r="A12" s="9">
        <v>1600</v>
      </c>
      <c r="B12" s="9">
        <v>3</v>
      </c>
      <c r="C12" s="9">
        <v>8</v>
      </c>
      <c r="D12" s="9">
        <v>312000</v>
      </c>
      <c r="E12" s="12">
        <f t="shared" ref="E12:E30" si="2">$I$13+$I$14*A12+$I$15*B12+$I$16*C12</f>
        <v>291237.21893856995</v>
      </c>
      <c r="F12" s="12">
        <f t="shared" si="0"/>
        <v>454822.11837751599</v>
      </c>
      <c r="G12" s="12">
        <f t="shared" si="1"/>
        <v>127652.31949962479</v>
      </c>
      <c r="K12" s="12">
        <v>82617.737091656294</v>
      </c>
    </row>
    <row r="13" spans="1:14" x14ac:dyDescent="0.35">
      <c r="A13" s="9">
        <v>1700</v>
      </c>
      <c r="B13" s="9">
        <v>3</v>
      </c>
      <c r="C13" s="9">
        <v>12</v>
      </c>
      <c r="D13" s="9">
        <v>279000</v>
      </c>
      <c r="E13" s="12">
        <f t="shared" si="2"/>
        <v>278252.49254590296</v>
      </c>
      <c r="F13" s="12">
        <f t="shared" si="0"/>
        <v>453799.0263507872</v>
      </c>
      <c r="G13" s="12">
        <f t="shared" si="1"/>
        <v>102705.95874101954</v>
      </c>
      <c r="I13" s="12">
        <v>140636.40048122199</v>
      </c>
      <c r="K13" s="12">
        <v>81.732947733067164</v>
      </c>
      <c r="N13" s="12">
        <v>198655.06387078855</v>
      </c>
    </row>
    <row r="14" spans="1:14" x14ac:dyDescent="0.35">
      <c r="A14" s="9">
        <v>1875</v>
      </c>
      <c r="B14" s="9">
        <v>4</v>
      </c>
      <c r="C14" s="9">
        <v>5</v>
      </c>
      <c r="D14" s="9">
        <v>345000</v>
      </c>
      <c r="E14" s="12">
        <f t="shared" si="2"/>
        <v>347349.6860249475</v>
      </c>
      <c r="F14" s="12">
        <f t="shared" si="0"/>
        <v>526230.35790844867</v>
      </c>
      <c r="G14" s="12">
        <f t="shared" si="1"/>
        <v>168469.0141414472</v>
      </c>
      <c r="I14" s="12">
        <v>106.99572676300006</v>
      </c>
      <c r="K14" s="12">
        <v>-6499.6076337050181</v>
      </c>
      <c r="N14" s="12">
        <v>132.25850579293297</v>
      </c>
    </row>
    <row r="15" spans="1:14" ht="15" thickBot="1" x14ac:dyDescent="0.4">
      <c r="A15" s="9">
        <v>1100</v>
      </c>
      <c r="B15" s="9">
        <v>2</v>
      </c>
      <c r="C15" s="9">
        <v>15</v>
      </c>
      <c r="D15" s="9">
        <v>198000</v>
      </c>
      <c r="E15" s="12">
        <f t="shared" si="2"/>
        <v>187366.41426155035</v>
      </c>
      <c r="F15" s="12">
        <f t="shared" si="0"/>
        <v>339406.77243715129</v>
      </c>
      <c r="G15" s="12">
        <f t="shared" si="1"/>
        <v>35326.056085950273</v>
      </c>
      <c r="I15" s="12">
        <v>8925.4179248272922</v>
      </c>
      <c r="K15" s="13">
        <v>-8279.9138829779895</v>
      </c>
      <c r="N15" s="12">
        <v>24350.443483359602</v>
      </c>
    </row>
    <row r="16" spans="1:14" ht="15" thickBot="1" x14ac:dyDescent="0.4">
      <c r="A16" s="9">
        <v>1550</v>
      </c>
      <c r="B16" s="9">
        <v>3</v>
      </c>
      <c r="C16" s="9">
        <v>7</v>
      </c>
      <c r="D16" s="9">
        <v>289000</v>
      </c>
      <c r="E16" s="12">
        <f t="shared" si="2"/>
        <v>291808.50736766175</v>
      </c>
      <c r="F16" s="12">
        <f t="shared" si="0"/>
        <v>451771.42873937485</v>
      </c>
      <c r="G16" s="12">
        <f t="shared" si="1"/>
        <v>131845.58599594943</v>
      </c>
      <c r="I16" s="13">
        <v>-5921.074767241751</v>
      </c>
      <c r="N16" s="13">
        <v>-3562.235651505513</v>
      </c>
    </row>
    <row r="17" spans="1:7" x14ac:dyDescent="0.35">
      <c r="A17" s="9">
        <v>2350</v>
      </c>
      <c r="B17" s="9">
        <v>4</v>
      </c>
      <c r="C17" s="9">
        <v>3</v>
      </c>
      <c r="D17" s="9">
        <v>425000</v>
      </c>
      <c r="E17" s="12">
        <f t="shared" si="2"/>
        <v>410014.80577185599</v>
      </c>
      <c r="F17" s="12">
        <f t="shared" si="0"/>
        <v>596177.61946310278</v>
      </c>
      <c r="G17" s="12">
        <f t="shared" si="1"/>
        <v>223851.99208061007</v>
      </c>
    </row>
    <row r="18" spans="1:7" x14ac:dyDescent="0.35">
      <c r="A18" s="9">
        <v>2450</v>
      </c>
      <c r="B18" s="9">
        <v>4</v>
      </c>
      <c r="C18" s="9">
        <v>6</v>
      </c>
      <c r="D18" s="9">
        <v>399000</v>
      </c>
      <c r="E18" s="12">
        <f t="shared" si="2"/>
        <v>402951.15414643084</v>
      </c>
      <c r="F18" s="12">
        <f t="shared" si="0"/>
        <v>598716.76308787975</v>
      </c>
      <c r="G18" s="12">
        <f t="shared" si="1"/>
        <v>207185.54520498286</v>
      </c>
    </row>
    <row r="19" spans="1:7" x14ac:dyDescent="0.35">
      <c r="A19" s="9">
        <v>1425</v>
      </c>
      <c r="B19" s="9">
        <v>3</v>
      </c>
      <c r="C19" s="9">
        <v>9</v>
      </c>
      <c r="D19" s="9">
        <v>265000</v>
      </c>
      <c r="E19" s="12">
        <f t="shared" si="2"/>
        <v>266591.89198780316</v>
      </c>
      <c r="F19" s="12">
        <f t="shared" si="0"/>
        <v>428114.64421224722</v>
      </c>
      <c r="G19" s="12">
        <f t="shared" si="1"/>
        <v>105069.13976336003</v>
      </c>
    </row>
    <row r="20" spans="1:7" x14ac:dyDescent="0.35">
      <c r="A20" s="9">
        <v>1700</v>
      </c>
      <c r="B20" s="9">
        <v>3</v>
      </c>
      <c r="C20" s="9">
        <v>11</v>
      </c>
      <c r="D20" s="9">
        <v>274000</v>
      </c>
      <c r="E20" s="12">
        <f t="shared" si="2"/>
        <v>284173.56731314474</v>
      </c>
      <c r="F20" s="12">
        <f t="shared" si="0"/>
        <v>457361.26200229273</v>
      </c>
      <c r="G20" s="12">
        <f t="shared" si="1"/>
        <v>110985.87262399752</v>
      </c>
    </row>
    <row r="21" spans="1:7" x14ac:dyDescent="0.35">
      <c r="A21" s="9">
        <v>1900</v>
      </c>
      <c r="B21" s="9">
        <v>4</v>
      </c>
      <c r="C21" s="9">
        <v>4</v>
      </c>
      <c r="D21" s="9">
        <v>358000</v>
      </c>
      <c r="E21" s="12">
        <f t="shared" si="2"/>
        <v>355945.6539612643</v>
      </c>
      <c r="F21" s="12">
        <f t="shared" si="0"/>
        <v>533099.05620477756</v>
      </c>
      <c r="G21" s="12">
        <f t="shared" si="1"/>
        <v>178792.25171775187</v>
      </c>
    </row>
    <row r="22" spans="1:7" x14ac:dyDescent="0.35">
      <c r="A22" s="9">
        <v>1300</v>
      </c>
      <c r="B22" s="9">
        <v>2</v>
      </c>
      <c r="C22" s="9">
        <v>13</v>
      </c>
      <c r="D22" s="9">
        <v>215000</v>
      </c>
      <c r="E22" s="12">
        <f t="shared" si="2"/>
        <v>220607.70914863388</v>
      </c>
      <c r="F22" s="12">
        <f t="shared" si="0"/>
        <v>372982.944898749</v>
      </c>
      <c r="G22" s="12">
        <f t="shared" si="1"/>
        <v>68232.473398519709</v>
      </c>
    </row>
    <row r="23" spans="1:7" x14ac:dyDescent="0.35">
      <c r="A23" s="9">
        <v>2100</v>
      </c>
      <c r="B23" s="9">
        <v>4</v>
      </c>
      <c r="C23" s="9">
        <v>2</v>
      </c>
      <c r="D23" s="9">
        <v>389000</v>
      </c>
      <c r="E23" s="12">
        <f t="shared" si="2"/>
        <v>389186.94884834782</v>
      </c>
      <c r="F23" s="12">
        <f t="shared" si="0"/>
        <v>566675.22866637516</v>
      </c>
      <c r="G23" s="12">
        <f t="shared" si="1"/>
        <v>211698.66903032133</v>
      </c>
    </row>
    <row r="24" spans="1:7" x14ac:dyDescent="0.35">
      <c r="A24" s="9">
        <v>1650</v>
      </c>
      <c r="B24" s="9">
        <v>3</v>
      </c>
      <c r="C24" s="9">
        <v>10</v>
      </c>
      <c r="D24" s="9">
        <v>285000</v>
      </c>
      <c r="E24" s="12">
        <f t="shared" si="2"/>
        <v>284744.85574223648</v>
      </c>
      <c r="F24" s="12">
        <f t="shared" si="0"/>
        <v>454310.57236415165</v>
      </c>
      <c r="G24" s="12">
        <f t="shared" si="1"/>
        <v>115179.13912032216</v>
      </c>
    </row>
    <row r="25" spans="1:7" x14ac:dyDescent="0.35">
      <c r="A25" s="9">
        <v>1950</v>
      </c>
      <c r="B25" s="9">
        <v>3</v>
      </c>
      <c r="C25" s="9">
        <v>6</v>
      </c>
      <c r="D25" s="9">
        <v>335000</v>
      </c>
      <c r="E25" s="12">
        <f t="shared" si="2"/>
        <v>340527.87284010352</v>
      </c>
      <c r="F25" s="12">
        <f t="shared" si="0"/>
        <v>508237.06670805358</v>
      </c>
      <c r="G25" s="12">
        <f t="shared" si="1"/>
        <v>172818.67897215427</v>
      </c>
    </row>
    <row r="26" spans="1:7" x14ac:dyDescent="0.35">
      <c r="A26" s="9">
        <v>1150</v>
      </c>
      <c r="B26" s="9">
        <v>2</v>
      </c>
      <c r="C26" s="9">
        <v>14</v>
      </c>
      <c r="D26" s="9">
        <v>205000</v>
      </c>
      <c r="E26" s="12">
        <f t="shared" si="2"/>
        <v>198637.27536694214</v>
      </c>
      <c r="F26" s="12">
        <f t="shared" si="0"/>
        <v>349581.93337830342</v>
      </c>
      <c r="G26" s="12">
        <f t="shared" si="1"/>
        <v>47692.617355581649</v>
      </c>
    </row>
    <row r="27" spans="1:7" x14ac:dyDescent="0.35">
      <c r="A27" s="9">
        <v>2200</v>
      </c>
      <c r="B27" s="9">
        <v>4</v>
      </c>
      <c r="C27" s="9">
        <v>5</v>
      </c>
      <c r="D27" s="9">
        <v>378000</v>
      </c>
      <c r="E27" s="12">
        <f t="shared" si="2"/>
        <v>382123.2972229225</v>
      </c>
      <c r="F27" s="12">
        <f t="shared" si="0"/>
        <v>569214.3722911519</v>
      </c>
      <c r="G27" s="12">
        <f t="shared" si="1"/>
        <v>195032.22215469403</v>
      </c>
    </row>
    <row r="28" spans="1:7" x14ac:dyDescent="0.35">
      <c r="A28" s="9">
        <v>1500</v>
      </c>
      <c r="B28" s="9">
        <v>3</v>
      </c>
      <c r="C28" s="9">
        <v>8</v>
      </c>
      <c r="D28" s="9">
        <v>275000</v>
      </c>
      <c r="E28" s="12">
        <f t="shared" si="2"/>
        <v>280537.64626226999</v>
      </c>
      <c r="F28" s="12">
        <f t="shared" si="0"/>
        <v>441596.26779822272</v>
      </c>
      <c r="G28" s="12">
        <f t="shared" si="1"/>
        <v>119479.02472631806</v>
      </c>
    </row>
    <row r="29" spans="1:7" x14ac:dyDescent="0.35">
      <c r="A29" s="9">
        <v>1850</v>
      </c>
      <c r="B29" s="9">
        <v>3</v>
      </c>
      <c r="C29" s="9">
        <v>7</v>
      </c>
      <c r="D29" s="9">
        <v>318000</v>
      </c>
      <c r="E29" s="12">
        <f t="shared" si="2"/>
        <v>323907.22539656173</v>
      </c>
      <c r="F29" s="12">
        <f t="shared" si="0"/>
        <v>491448.98047725478</v>
      </c>
      <c r="G29" s="12">
        <f t="shared" si="1"/>
        <v>156365.47031586958</v>
      </c>
    </row>
    <row r="30" spans="1:7" x14ac:dyDescent="0.35">
      <c r="A30" s="9">
        <v>2000</v>
      </c>
      <c r="B30" s="9">
        <v>4</v>
      </c>
      <c r="C30" s="9">
        <v>9</v>
      </c>
      <c r="D30" s="9">
        <v>342000</v>
      </c>
      <c r="E30" s="12">
        <f t="shared" si="2"/>
        <v>337039.85280135548</v>
      </c>
      <c r="F30" s="12">
        <f t="shared" si="0"/>
        <v>528513.72852654324</v>
      </c>
      <c r="G30" s="12">
        <f t="shared" si="1"/>
        <v>145565.97707616864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37F2-DE04-4477-8F45-46526120C8F9}">
  <dimension ref="A1:I46"/>
  <sheetViews>
    <sheetView workbookViewId="0">
      <selection activeCell="J13" sqref="J13"/>
    </sheetView>
  </sheetViews>
  <sheetFormatPr defaultRowHeight="14.5" x14ac:dyDescent="0.35"/>
  <cols>
    <col min="1" max="1" width="17.26953125" bestFit="1" customWidth="1"/>
    <col min="5" max="5" width="24.1796875" customWidth="1"/>
  </cols>
  <sheetData>
    <row r="1" spans="1:9" x14ac:dyDescent="0.35">
      <c r="A1" t="s">
        <v>3</v>
      </c>
    </row>
    <row r="2" spans="1:9" ht="15" thickBot="1" x14ac:dyDescent="0.4"/>
    <row r="3" spans="1:9" x14ac:dyDescent="0.35">
      <c r="A3" s="3" t="s">
        <v>4</v>
      </c>
      <c r="B3" s="3"/>
      <c r="C3" t="s">
        <v>35</v>
      </c>
    </row>
    <row r="4" spans="1:9" x14ac:dyDescent="0.35">
      <c r="A4" t="s">
        <v>5</v>
      </c>
      <c r="B4" s="6">
        <v>0.99196379395644363</v>
      </c>
      <c r="C4" t="s">
        <v>36</v>
      </c>
    </row>
    <row r="5" spans="1:9" x14ac:dyDescent="0.35">
      <c r="A5" t="s">
        <v>6</v>
      </c>
      <c r="B5" s="6">
        <v>0.98399216852046167</v>
      </c>
      <c r="C5" t="s">
        <v>37</v>
      </c>
    </row>
    <row r="6" spans="1:9" x14ac:dyDescent="0.35">
      <c r="A6" t="s">
        <v>7</v>
      </c>
      <c r="B6" s="6">
        <v>0.98099070011804823</v>
      </c>
    </row>
    <row r="7" spans="1:9" x14ac:dyDescent="0.35">
      <c r="A7" t="s">
        <v>8</v>
      </c>
      <c r="B7">
        <v>8969.409598426666</v>
      </c>
      <c r="C7" t="s">
        <v>38</v>
      </c>
    </row>
    <row r="8" spans="1:9" ht="15" thickBot="1" x14ac:dyDescent="0.4">
      <c r="A8" s="1" t="s">
        <v>9</v>
      </c>
      <c r="B8" s="1">
        <v>20</v>
      </c>
      <c r="C8" s="7"/>
      <c r="D8">
        <f>0.3*B8</f>
        <v>6</v>
      </c>
      <c r="G8">
        <f>0.7*20</f>
        <v>14</v>
      </c>
    </row>
    <row r="10" spans="1:9" ht="15" thickBot="1" x14ac:dyDescent="0.4">
      <c r="A10" t="s">
        <v>10</v>
      </c>
    </row>
    <row r="11" spans="1:9" x14ac:dyDescent="0.35">
      <c r="A11" s="2"/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</row>
    <row r="12" spans="1:9" x14ac:dyDescent="0.35">
      <c r="A12" t="s">
        <v>11</v>
      </c>
      <c r="B12">
        <v>3</v>
      </c>
      <c r="C12">
        <v>79123745063.290421</v>
      </c>
      <c r="D12">
        <v>26374581687.763474</v>
      </c>
      <c r="E12">
        <v>327.83692399668581</v>
      </c>
      <c r="F12">
        <v>1.4292078871328667E-14</v>
      </c>
    </row>
    <row r="13" spans="1:9" x14ac:dyDescent="0.35">
      <c r="A13" t="s">
        <v>12</v>
      </c>
      <c r="B13">
        <v>16</v>
      </c>
      <c r="C13">
        <v>1287204936.7095747</v>
      </c>
      <c r="D13">
        <v>80450308.544348419</v>
      </c>
    </row>
    <row r="14" spans="1:9" ht="15" thickBot="1" x14ac:dyDescent="0.4">
      <c r="A14" s="1" t="s">
        <v>13</v>
      </c>
      <c r="B14" s="1">
        <v>19</v>
      </c>
      <c r="C14" s="1">
        <v>80410950000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20</v>
      </c>
      <c r="C16" s="2" t="s">
        <v>8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35">
      <c r="A17" t="s">
        <v>14</v>
      </c>
      <c r="B17">
        <v>140636.40048122243</v>
      </c>
      <c r="C17">
        <v>27368.516608208505</v>
      </c>
      <c r="D17">
        <v>5.1386197686374437</v>
      </c>
      <c r="E17" s="7">
        <v>9.9058695178286002E-5</v>
      </c>
      <c r="F17" s="4">
        <v>82617.737091656294</v>
      </c>
      <c r="G17" s="4">
        <v>198655.06387078855</v>
      </c>
      <c r="H17">
        <v>82617.737091656294</v>
      </c>
      <c r="I17">
        <v>198655.06387078855</v>
      </c>
    </row>
    <row r="18" spans="1:9" x14ac:dyDescent="0.35">
      <c r="A18" t="s">
        <v>0</v>
      </c>
      <c r="B18">
        <v>106.99572676300006</v>
      </c>
      <c r="C18">
        <v>11.916937534527202</v>
      </c>
      <c r="D18">
        <v>8.9784583038216841</v>
      </c>
      <c r="E18" s="7">
        <v>1.203433734135229E-7</v>
      </c>
      <c r="F18" s="4">
        <v>81.732947733067164</v>
      </c>
      <c r="G18" s="4">
        <v>132.25850579293297</v>
      </c>
      <c r="H18">
        <v>81.732947733067164</v>
      </c>
      <c r="I18">
        <v>132.25850579293297</v>
      </c>
    </row>
    <row r="19" spans="1:9" x14ac:dyDescent="0.35">
      <c r="A19" t="s">
        <v>1</v>
      </c>
      <c r="B19">
        <v>8925.4179248272922</v>
      </c>
      <c r="C19">
        <v>7276.2804848870737</v>
      </c>
      <c r="D19">
        <v>1.2266456664727945</v>
      </c>
      <c r="E19" s="7">
        <v>0.23770147936709729</v>
      </c>
      <c r="F19" s="4">
        <v>-6499.6076337050181</v>
      </c>
      <c r="G19" s="4">
        <v>24350.443483359602</v>
      </c>
      <c r="H19">
        <v>-6499.6076337050181</v>
      </c>
      <c r="I19">
        <v>24350.443483359602</v>
      </c>
    </row>
    <row r="20" spans="1:9" ht="15" thickBot="1" x14ac:dyDescent="0.4">
      <c r="A20" s="1" t="s">
        <v>2</v>
      </c>
      <c r="B20" s="1">
        <v>-5921.074767241751</v>
      </c>
      <c r="C20" s="1">
        <v>1112.7096651924758</v>
      </c>
      <c r="D20" s="1">
        <v>-5.3213115266843012</v>
      </c>
      <c r="E20" s="8">
        <v>6.8867993970018871E-5</v>
      </c>
      <c r="F20" s="5">
        <v>-8279.9138829779895</v>
      </c>
      <c r="G20" s="5">
        <v>-3562.235651505513</v>
      </c>
      <c r="H20" s="1">
        <v>-8279.9138829779895</v>
      </c>
      <c r="I20" s="1">
        <v>-3562.235651505513</v>
      </c>
    </row>
    <row r="24" spans="1:9" x14ac:dyDescent="0.35">
      <c r="A24" t="s">
        <v>27</v>
      </c>
    </row>
    <row r="25" spans="1:9" ht="15" thickBot="1" x14ac:dyDescent="0.4"/>
    <row r="26" spans="1:9" x14ac:dyDescent="0.35">
      <c r="A26" s="2" t="s">
        <v>28</v>
      </c>
      <c r="B26" s="2" t="s">
        <v>29</v>
      </c>
      <c r="C26" s="2" t="s">
        <v>30</v>
      </c>
      <c r="D26" s="2" t="s">
        <v>31</v>
      </c>
    </row>
    <row r="27" spans="1:9" x14ac:dyDescent="0.35">
      <c r="A27">
        <v>1</v>
      </c>
      <c r="B27">
        <v>257995.92405148689</v>
      </c>
      <c r="C27">
        <v>-12995.924051486887</v>
      </c>
      <c r="D27">
        <v>-1.5789199667137985</v>
      </c>
    </row>
    <row r="28" spans="1:9" x14ac:dyDescent="0.35">
      <c r="A28">
        <v>2</v>
      </c>
      <c r="B28">
        <v>291237.21893857041</v>
      </c>
      <c r="C28">
        <v>20762.781061429589</v>
      </c>
      <c r="D28">
        <v>2.5225424104142529</v>
      </c>
    </row>
    <row r="29" spans="1:9" x14ac:dyDescent="0.35">
      <c r="A29">
        <v>3</v>
      </c>
      <c r="B29">
        <v>278252.49254590343</v>
      </c>
      <c r="C29">
        <v>747.50745409657247</v>
      </c>
      <c r="D29">
        <v>9.0817277776060981E-2</v>
      </c>
    </row>
    <row r="30" spans="1:9" x14ac:dyDescent="0.35">
      <c r="A30">
        <v>4</v>
      </c>
      <c r="B30">
        <v>347349.68602494797</v>
      </c>
      <c r="C30">
        <v>-2349.6860249479651</v>
      </c>
      <c r="D30">
        <v>-0.28547151903940643</v>
      </c>
    </row>
    <row r="31" spans="1:9" x14ac:dyDescent="0.35">
      <c r="A31">
        <v>5</v>
      </c>
      <c r="B31">
        <v>187366.41426155082</v>
      </c>
      <c r="C31">
        <v>10633.585738449183</v>
      </c>
      <c r="D31">
        <v>1.2919112772346173</v>
      </c>
    </row>
    <row r="32" spans="1:9" x14ac:dyDescent="0.35">
      <c r="A32">
        <v>6</v>
      </c>
      <c r="B32">
        <v>291808.50736766215</v>
      </c>
      <c r="C32">
        <v>-2808.5073676621541</v>
      </c>
      <c r="D32">
        <v>-0.34121531811793238</v>
      </c>
    </row>
    <row r="33" spans="1:4" x14ac:dyDescent="0.35">
      <c r="A33">
        <v>7</v>
      </c>
      <c r="B33">
        <v>410014.80577185645</v>
      </c>
      <c r="C33">
        <v>14985.194228143548</v>
      </c>
      <c r="D33">
        <v>1.8206033120971636</v>
      </c>
    </row>
    <row r="34" spans="1:4" x14ac:dyDescent="0.35">
      <c r="A34">
        <v>8</v>
      </c>
      <c r="B34">
        <v>402951.15414643119</v>
      </c>
      <c r="C34">
        <v>-3951.1541464311886</v>
      </c>
      <c r="D34">
        <v>-0.48003944534059162</v>
      </c>
    </row>
    <row r="35" spans="1:4" x14ac:dyDescent="0.35">
      <c r="A35">
        <v>9</v>
      </c>
      <c r="B35">
        <v>266591.89198780362</v>
      </c>
      <c r="C35">
        <v>-1591.8919878036249</v>
      </c>
      <c r="D35">
        <v>-0.19340448854864548</v>
      </c>
    </row>
    <row r="36" spans="1:4" x14ac:dyDescent="0.35">
      <c r="A36">
        <v>10</v>
      </c>
      <c r="B36">
        <v>284173.56731314515</v>
      </c>
      <c r="C36">
        <v>-10173.567313145148</v>
      </c>
      <c r="D36">
        <v>-1.2360220404330464</v>
      </c>
    </row>
    <row r="37" spans="1:4" x14ac:dyDescent="0.35">
      <c r="A37">
        <v>11</v>
      </c>
      <c r="B37">
        <v>355945.65396126476</v>
      </c>
      <c r="C37">
        <v>2054.3460387352388</v>
      </c>
      <c r="D37">
        <v>0.24958963797017231</v>
      </c>
    </row>
    <row r="38" spans="1:4" x14ac:dyDescent="0.35">
      <c r="A38">
        <v>12</v>
      </c>
      <c r="B38">
        <v>220607.70914863434</v>
      </c>
      <c r="C38">
        <v>-5607.7091486343415</v>
      </c>
      <c r="D38">
        <v>-0.68130006817709754</v>
      </c>
    </row>
    <row r="39" spans="1:4" x14ac:dyDescent="0.35">
      <c r="A39">
        <v>13</v>
      </c>
      <c r="B39">
        <v>389186.94884834817</v>
      </c>
      <c r="C39">
        <v>-186.94884834816912</v>
      </c>
      <c r="D39">
        <v>-2.2713065130393895E-2</v>
      </c>
    </row>
    <row r="40" spans="1:4" x14ac:dyDescent="0.35">
      <c r="A40">
        <v>14</v>
      </c>
      <c r="B40">
        <v>284744.85574223695</v>
      </c>
      <c r="C40">
        <v>255.14425776305143</v>
      </c>
      <c r="D40">
        <v>3.0998362361802426E-2</v>
      </c>
    </row>
    <row r="41" spans="1:4" x14ac:dyDescent="0.35">
      <c r="A41">
        <v>15</v>
      </c>
      <c r="B41">
        <v>340527.87284010393</v>
      </c>
      <c r="C41">
        <v>-5527.8728401039261</v>
      </c>
      <c r="D41">
        <v>-0.67160047766641173</v>
      </c>
    </row>
    <row r="42" spans="1:4" x14ac:dyDescent="0.35">
      <c r="A42">
        <v>16</v>
      </c>
      <c r="B42">
        <v>198637.27536694254</v>
      </c>
      <c r="C42">
        <v>6362.7246330574562</v>
      </c>
      <c r="D42">
        <v>0.77302952264381208</v>
      </c>
    </row>
    <row r="43" spans="1:4" x14ac:dyDescent="0.35">
      <c r="A43">
        <v>17</v>
      </c>
      <c r="B43">
        <v>382123.29722292296</v>
      </c>
      <c r="C43">
        <v>-4123.2972229229636</v>
      </c>
      <c r="D43">
        <v>-0.50095370580622633</v>
      </c>
    </row>
    <row r="44" spans="1:4" x14ac:dyDescent="0.35">
      <c r="A44">
        <v>18</v>
      </c>
      <c r="B44">
        <v>280537.64626227046</v>
      </c>
      <c r="C44">
        <v>-5537.6462622704566</v>
      </c>
      <c r="D44">
        <v>-0.6727878846826979</v>
      </c>
    </row>
    <row r="45" spans="1:4" x14ac:dyDescent="0.35">
      <c r="A45">
        <v>19</v>
      </c>
      <c r="B45">
        <v>323907.22539656219</v>
      </c>
      <c r="C45">
        <v>-5907.2253965621931</v>
      </c>
      <c r="D45">
        <v>-0.71768933779231803</v>
      </c>
    </row>
    <row r="46" spans="1:4" ht="15" thickBot="1" x14ac:dyDescent="0.4">
      <c r="A46" s="1">
        <v>20</v>
      </c>
      <c r="B46" s="1">
        <v>337039.85280135594</v>
      </c>
      <c r="C46" s="1">
        <v>4960.1471986440592</v>
      </c>
      <c r="D46" s="1">
        <v>0.60262551695064603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LR</vt:lpstr>
      <vt:lpstr>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g</dc:creator>
  <cp:lastModifiedBy>Naveen kumar g</cp:lastModifiedBy>
  <dcterms:created xsi:type="dcterms:W3CDTF">2015-06-05T18:17:20Z</dcterms:created>
  <dcterms:modified xsi:type="dcterms:W3CDTF">2025-11-11T14:42:37Z</dcterms:modified>
</cp:coreProperties>
</file>